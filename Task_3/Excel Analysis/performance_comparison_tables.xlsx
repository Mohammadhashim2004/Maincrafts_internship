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\Internship\tasks\Task_3\"/>
    </mc:Choice>
  </mc:AlternateContent>
  <xr:revisionPtr revIDLastSave="0" documentId="8_{4F548F94-FA84-4539-B479-BBA992A21F62}" xr6:coauthVersionLast="47" xr6:coauthVersionMax="47" xr10:uidLastSave="{00000000-0000-0000-0000-000000000000}"/>
  <bookViews>
    <workbookView xWindow="-108" yWindow="-108" windowWidth="23256" windowHeight="13176" xr2:uid="{2558A270-5C6B-4B25-80BC-9A4C2E69F5A6}"/>
  </bookViews>
  <sheets>
    <sheet name="performance_comparison_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L6" i="1"/>
  <c r="H6" i="1"/>
  <c r="D6" i="1"/>
  <c r="L5" i="1"/>
  <c r="H5" i="1"/>
  <c r="D5" i="1"/>
  <c r="L4" i="1"/>
  <c r="H4" i="1"/>
  <c r="D4" i="1"/>
</calcChain>
</file>

<file path=xl/sharedStrings.xml><?xml version="1.0" encoding="utf-8"?>
<sst xmlns="http://schemas.openxmlformats.org/spreadsheetml/2006/main" count="23" uniqueCount="22">
  <si>
    <t>Region vs. Profit Margin</t>
  </si>
  <si>
    <t>Category vs. Growth(%)</t>
  </si>
  <si>
    <t>Segment vs. Revenue Contribution(%)</t>
  </si>
  <si>
    <t>region</t>
  </si>
  <si>
    <t>total_sales</t>
  </si>
  <si>
    <t>total_profit</t>
  </si>
  <si>
    <t>profit_margin</t>
  </si>
  <si>
    <t>product_category</t>
  </si>
  <si>
    <t>growth(%)</t>
  </si>
  <si>
    <t>segment</t>
  </si>
  <si>
    <t>total_revenue</t>
  </si>
  <si>
    <t>revenue(%)</t>
  </si>
  <si>
    <t>Central</t>
  </si>
  <si>
    <t>Furniture</t>
  </si>
  <si>
    <t>Conumer</t>
  </si>
  <si>
    <t>East</t>
  </si>
  <si>
    <t>Office Supplies</t>
  </si>
  <si>
    <t>Corporate</t>
  </si>
  <si>
    <t>South</t>
  </si>
  <si>
    <t>Technology</t>
  </si>
  <si>
    <t>Home Office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</si>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</sst>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">
    <dxf>
      <numFmt numFmtId="14" formatCode="0.00%"/>
    </dxf>
    <dxf>
      <numFmt numFmtId="14" formatCode="0.00%"/>
    </dxf>
    <dxf>
      <numFmt numFmtId="0" formatCode="General"/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DFD07-2685-48FA-B96E-C8D827FEDF4C}" name="Table2" displayName="Table2" ref="A3:D7" totalsRowShown="0" tableBorderDxfId="3">
  <autoFilter ref="A3:D7" xr:uid="{CAA433F4-D8F7-4DD1-8A71-FFA23C14BFBE}"/>
  <tableColumns count="4">
    <tableColumn id="1" xr3:uid="{4582A649-FED8-4CE3-8353-7CA34BA506E5}" name="region"/>
    <tableColumn id="2" xr3:uid="{301ED745-FA11-4AD3-865C-71B024B45F16}" name="total_sales"/>
    <tableColumn id="3" xr3:uid="{FD48141C-6860-42F4-9572-B5283C5BA312}" name="total_profit"/>
    <tableColumn id="4" xr3:uid="{58D9D74D-B8F0-4137-BC7A-FA61416500AB}" name="profit_margin" dataDxfId="2">
      <calculatedColumnFormula>C4/B4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222C8-672E-42C1-9DD1-72094FE91B40}" name="Table3" displayName="Table3" ref="F3:H6" totalsRowShown="0">
  <autoFilter ref="F3:H6" xr:uid="{930C2FF4-BB1A-4668-874D-65790A4DBA78}"/>
  <tableColumns count="3">
    <tableColumn id="1" xr3:uid="{FA79290D-8938-48FB-B09C-5686FEDC8EE6}" name="product_category"/>
    <tableColumn id="2" xr3:uid="{9001F9D5-88C8-425A-8D51-21E7FDE59C53}" name="total_sales"/>
    <tableColumn id="3" xr3:uid="{5FD02DFE-C28B-466F-9F9C-49A011219D49}" name="growth(%)" dataDxfId="1">
      <calculatedColumnFormula>G4/SUM($G$4:$G$6)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44A823-5096-4DEC-9A61-BED9708545D6}" name="Table4" displayName="Table4" ref="J3:L6" totalsRowShown="0">
  <autoFilter ref="J3:L6" xr:uid="{275B60D5-F27A-4C44-9F13-D3340071538F}"/>
  <tableColumns count="3">
    <tableColumn id="1" xr3:uid="{52EC1011-D6E2-46F6-95A3-9C04EBD64729}" name="segment"/>
    <tableColumn id="2" xr3:uid="{BC9B7FB1-5DCB-47A8-8367-9890C646534A}" name="total_revenue"/>
    <tableColumn id="3" xr3:uid="{A2295355-355E-453E-8C02-0A3A426F7472}" name="revenue(%)" dataDxfId="0">
      <calculatedColumnFormula>K4/SUM($K$4:$K$6)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697C-C3E7-4D4D-98BC-497AF6B548F9}">
  <dimension ref="A1:L7"/>
  <sheetViews>
    <sheetView tabSelected="1" workbookViewId="0">
      <selection activeCell="H11" sqref="H11"/>
    </sheetView>
  </sheetViews>
  <sheetFormatPr defaultRowHeight="14.4" x14ac:dyDescent="0.3"/>
  <cols>
    <col min="1" max="1" width="11.109375" customWidth="1"/>
    <col min="2" max="2" width="15.88671875" customWidth="1"/>
    <col min="3" max="3" width="15.77734375" customWidth="1"/>
    <col min="4" max="4" width="14.5546875" customWidth="1"/>
    <col min="5" max="5" width="11.44140625" customWidth="1"/>
    <col min="6" max="6" width="19.33203125" customWidth="1"/>
    <col min="7" max="7" width="14.6640625" customWidth="1"/>
    <col min="8" max="8" width="13.77734375" customWidth="1"/>
    <col min="9" max="9" width="11.77734375" customWidth="1"/>
    <col min="10" max="10" width="17.44140625" customWidth="1"/>
    <col min="11" max="11" width="16.77734375" customWidth="1"/>
    <col min="12" max="12" width="12.5546875" customWidth="1"/>
  </cols>
  <sheetData>
    <row r="1" spans="1:12" ht="14.4" customHeight="1" x14ac:dyDescent="0.3">
      <c r="A1" s="1" t="s">
        <v>0</v>
      </c>
      <c r="B1" s="2"/>
      <c r="C1" s="2"/>
      <c r="F1" s="1" t="s">
        <v>1</v>
      </c>
      <c r="G1" s="3"/>
      <c r="H1" s="3"/>
      <c r="J1" s="1" t="s">
        <v>2</v>
      </c>
      <c r="K1" s="2"/>
      <c r="L1" s="2"/>
    </row>
    <row r="2" spans="1:12" x14ac:dyDescent="0.3">
      <c r="A2" s="2"/>
      <c r="B2" s="2"/>
      <c r="C2" s="2"/>
      <c r="F2" s="3"/>
      <c r="G2" s="3"/>
      <c r="H2" s="3"/>
      <c r="J2" s="2"/>
      <c r="K2" s="2"/>
      <c r="L2" s="2"/>
    </row>
    <row r="3" spans="1:12" x14ac:dyDescent="0.3">
      <c r="A3" t="s">
        <v>3</v>
      </c>
      <c r="B3" t="s">
        <v>4</v>
      </c>
      <c r="C3" t="s">
        <v>5</v>
      </c>
      <c r="D3" t="s">
        <v>6</v>
      </c>
      <c r="F3" t="s">
        <v>7</v>
      </c>
      <c r="G3" t="s">
        <v>4</v>
      </c>
      <c r="H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12</v>
      </c>
      <c r="B4">
        <v>345992.95669999998</v>
      </c>
      <c r="C4">
        <v>69198.591339999999</v>
      </c>
      <c r="D4" s="4">
        <f t="shared" ref="D4:D7" si="0">C4/B4</f>
        <v>0.2</v>
      </c>
      <c r="E4" s="4"/>
      <c r="F4" t="s">
        <v>13</v>
      </c>
      <c r="G4">
        <v>489328.15120000002</v>
      </c>
      <c r="H4" s="5">
        <f>G4/SUM($G$4:$G$6)</f>
        <v>0.3243860803576154</v>
      </c>
      <c r="J4" t="s">
        <v>14</v>
      </c>
      <c r="K4">
        <v>768833.7648</v>
      </c>
      <c r="L4" s="5">
        <f t="shared" ref="L4:L6" si="1">K4/SUM($K$4:$K$6)</f>
        <v>0.5096763200695672</v>
      </c>
    </row>
    <row r="5" spans="1:12" x14ac:dyDescent="0.3">
      <c r="A5" t="s">
        <v>15</v>
      </c>
      <c r="B5">
        <v>397446.01490000001</v>
      </c>
      <c r="C5">
        <v>79489.202980000002</v>
      </c>
      <c r="D5" s="4">
        <f t="shared" si="0"/>
        <v>0.2</v>
      </c>
      <c r="E5" s="4"/>
      <c r="F5" t="s">
        <v>16</v>
      </c>
      <c r="G5">
        <v>469972.89600000001</v>
      </c>
      <c r="H5" s="5">
        <f t="shared" ref="H5:H6" si="2">G5/SUM($G$4:$G$6)</f>
        <v>0.31155506838078112</v>
      </c>
      <c r="J5" t="s">
        <v>17</v>
      </c>
      <c r="K5">
        <v>444143.50449999998</v>
      </c>
      <c r="L5" s="5">
        <f t="shared" si="1"/>
        <v>0.29443221320443397</v>
      </c>
    </row>
    <row r="6" spans="1:12" x14ac:dyDescent="0.3">
      <c r="A6" t="s">
        <v>18</v>
      </c>
      <c r="B6">
        <v>286087.29430000001</v>
      </c>
      <c r="C6">
        <v>57217.458859999999</v>
      </c>
      <c r="D6" s="4">
        <f t="shared" si="0"/>
        <v>0.19999999999999998</v>
      </c>
      <c r="E6" s="4"/>
      <c r="F6" t="s">
        <v>19</v>
      </c>
      <c r="G6">
        <v>549173.51699999999</v>
      </c>
      <c r="H6" s="5">
        <f t="shared" si="2"/>
        <v>0.36405885126160353</v>
      </c>
      <c r="J6" t="s">
        <v>20</v>
      </c>
      <c r="K6">
        <v>295497.29489999998</v>
      </c>
      <c r="L6" s="5">
        <f t="shared" si="1"/>
        <v>0.19589146672599891</v>
      </c>
    </row>
    <row r="7" spans="1:12" x14ac:dyDescent="0.3">
      <c r="A7" t="s">
        <v>21</v>
      </c>
      <c r="B7">
        <v>478948.29830000002</v>
      </c>
      <c r="C7">
        <v>95789.659660000005</v>
      </c>
      <c r="D7" s="4">
        <f t="shared" si="0"/>
        <v>0.2</v>
      </c>
      <c r="E7" s="4"/>
    </row>
  </sheetData>
  <mergeCells count="3">
    <mergeCell ref="A1:C2"/>
    <mergeCell ref="F1:H2"/>
    <mergeCell ref="J1:L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performance_comparison_tables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KADIVAR</dc:creator>
  <cp:lastModifiedBy>M A KADIVAR</cp:lastModifiedBy>
  <dcterms:created xsi:type="dcterms:W3CDTF">2026-05-31T19:03:58Z</dcterms:created>
  <dcterms:modified xsi:type="dcterms:W3CDTF">2026-05-31T19:04:28Z</dcterms:modified>
</cp:coreProperties>
</file>