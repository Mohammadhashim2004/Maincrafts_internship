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\Internship\tasks\Task_3\"/>
    </mc:Choice>
  </mc:AlternateContent>
  <xr:revisionPtr revIDLastSave="0" documentId="13_ncr:1_{35ECE2F3-CCA0-4FD6-9E93-9CC5CADD9E85}" xr6:coauthVersionLast="47" xr6:coauthVersionMax="47" xr10:uidLastSave="{00000000-0000-0000-0000-000000000000}"/>
  <bookViews>
    <workbookView xWindow="-108" yWindow="-108" windowWidth="23256" windowHeight="13176" xr2:uid="{9F756D92-5F40-4866-888D-2116F5C63672}"/>
  </bookViews>
  <sheets>
    <sheet name="Monthly_Growth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  <c r="E2" i="1" a="1"/>
  <c r="E2" i="1" s="1"/>
  <c r="E3" i="1"/>
  <c r="E4" i="1"/>
  <c r="E5" i="1"/>
  <c r="E6" i="1"/>
  <c r="E7" i="1"/>
  <c r="E8" i="1"/>
  <c r="E9" i="1"/>
  <c r="E10" i="1"/>
  <c r="E11" i="1"/>
  <c r="E12" i="1"/>
  <c r="E13" i="1"/>
  <c r="D13" i="1"/>
  <c r="D12" i="1"/>
  <c r="D11" i="1"/>
  <c r="D10" i="1"/>
  <c r="D9" i="1"/>
  <c r="D8" i="1"/>
  <c r="D7" i="1"/>
  <c r="D6" i="1"/>
  <c r="D5" i="1"/>
  <c r="D4" i="1"/>
  <c r="D3" i="1"/>
  <c r="C5" i="1" a="1"/>
  <c r="C5" i="1" s="1"/>
  <c r="C6" i="1" a="1"/>
  <c r="C6" i="1" s="1"/>
  <c r="C7" i="1" a="1"/>
  <c r="C7" i="1"/>
  <c r="C8" i="1" a="1"/>
  <c r="C8" i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4" i="1" a="1"/>
  <c r="C4" i="1" s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<sst xmlns="http://schemas.openxmlformats.org/spreadsheetml/2006/main" count="17" uniqueCount="17">
  <si>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</si>
  <si>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</si>
  <si>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</si>
  <si>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</si>
  <si>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</si>
  <si>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</si>
  <si>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</si>
  <si>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</si>
  <si>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</si>
  <si>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</si>
  <si>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</si>
  <si>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</si>
  <si>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</si>
  <si>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Current_Sales</t>
  </si>
  <si>
    <t>Previous_Sales</t>
  </si>
  <si>
    <t>Variance</t>
  </si>
  <si>
    <t>Growth (in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</si>
</sst>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0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5169-2A91-4AEC-923A-D76F470FA6DF}">
  <dimension ref="A1:G13"/>
  <sheetViews>
    <sheetView tabSelected="1" workbookViewId="0">
      <selection activeCell="E20" sqref="E20"/>
    </sheetView>
  </sheetViews>
  <sheetFormatPr defaultRowHeight="14.4" x14ac:dyDescent="0.3"/>
  <cols>
    <col min="1" max="1" width="14.88671875" customWidth="1"/>
    <col min="2" max="2" width="16" customWidth="1"/>
    <col min="3" max="4" width="16.44140625" customWidth="1"/>
    <col min="5" max="5" width="16.77734375" style="4" customWidth="1"/>
  </cols>
  <sheetData>
    <row r="1" spans="1:7" x14ac:dyDescent="0.3">
      <c r="A1" s="1" t="s">
        <v>0</v>
      </c>
      <c r="B1" s="1" t="s">
        <v>13</v>
      </c>
      <c r="C1" s="1" t="s">
        <v>14</v>
      </c>
      <c r="D1" s="1" t="s">
        <v>15</v>
      </c>
      <c r="E1" s="3" t="s">
        <v>16</v>
      </c>
    </row>
    <row r="2" spans="1:7" x14ac:dyDescent="0.3">
      <c r="A2" t="s">
        <v>1</v>
      </c>
      <c r="B2">
        <v>67355.058000000005</v>
      </c>
      <c r="C2" s="5" t="str" cm="1">
        <f t="array" ref="C2">IFERROR(your_formula,"-")</f>
        <v>-</v>
      </c>
      <c r="D2" s="5" t="str" cm="1">
        <f t="array" ref="D2">IFERROR(your_formula,"-")</f>
        <v>-</v>
      </c>
      <c r="E2" s="6" t="str" cm="1">
        <f t="array" ref="E2">IFERROR(your_formula,"-")</f>
        <v>-</v>
      </c>
    </row>
    <row r="3" spans="1:7" x14ac:dyDescent="0.3">
      <c r="A3" t="s">
        <v>2</v>
      </c>
      <c r="B3">
        <v>45222.687400000003</v>
      </c>
      <c r="C3" cm="1">
        <f t="array" ref="C3">INDEX($B$2:$B$13,MATCH(A3,$A$2:$A$13,0)-1)</f>
        <v>67355.058000000005</v>
      </c>
      <c r="D3">
        <f t="shared" ref="D3:D13" si="0">B3-C3</f>
        <v>-22132.370600000002</v>
      </c>
      <c r="E3" s="4">
        <f t="shared" ref="E3:E13" si="1">D3/C3</f>
        <v>-0.32859255499416246</v>
      </c>
    </row>
    <row r="4" spans="1:7" x14ac:dyDescent="0.3">
      <c r="A4" t="s">
        <v>3</v>
      </c>
      <c r="B4">
        <v>122766.4908</v>
      </c>
      <c r="C4" cm="1">
        <f t="array" ref="C4">INDEX($B$2:$B$13,MATCH(A4,$A$2:$A$13,0)-1)</f>
        <v>45222.687400000003</v>
      </c>
      <c r="D4">
        <f t="shared" si="0"/>
        <v>77543.803400000004</v>
      </c>
      <c r="E4" s="4">
        <f t="shared" si="1"/>
        <v>1.7147102009687287</v>
      </c>
    </row>
    <row r="5" spans="1:7" x14ac:dyDescent="0.3">
      <c r="A5" t="s">
        <v>4</v>
      </c>
      <c r="B5">
        <v>100161.7396</v>
      </c>
      <c r="C5" cm="1">
        <f t="array" ref="C5">INDEX($B$2:$B$13,MATCH(A5,$A$2:$A$13,0)-1)</f>
        <v>122766.4908</v>
      </c>
      <c r="D5">
        <f t="shared" si="0"/>
        <v>-22604.751199999999</v>
      </c>
      <c r="E5" s="4">
        <f t="shared" si="1"/>
        <v>-0.18412802266072428</v>
      </c>
    </row>
    <row r="6" spans="1:7" x14ac:dyDescent="0.3">
      <c r="A6" t="s">
        <v>5</v>
      </c>
      <c r="B6">
        <v>108075.2599</v>
      </c>
      <c r="C6" cm="1">
        <f t="array" ref="C6">INDEX($B$2:$B$13,MATCH(A6,$A$2:$A$13,0)-1)</f>
        <v>100161.7396</v>
      </c>
      <c r="D6">
        <f t="shared" si="0"/>
        <v>7913.5203000000038</v>
      </c>
      <c r="E6" s="4">
        <f t="shared" si="1"/>
        <v>7.9007416720226403E-2</v>
      </c>
    </row>
    <row r="7" spans="1:7" x14ac:dyDescent="0.3">
      <c r="A7" t="s">
        <v>6</v>
      </c>
      <c r="B7">
        <v>107869.51149999999</v>
      </c>
      <c r="C7" cm="1">
        <f t="array" ref="C7">INDEX($B$2:$B$13,MATCH(A7,$A$2:$A$13,0)-1)</f>
        <v>108075.2599</v>
      </c>
      <c r="D7">
        <f t="shared" si="0"/>
        <v>-205.74840000001132</v>
      </c>
      <c r="E7" s="4">
        <f t="shared" si="1"/>
        <v>-1.9037511470283432E-3</v>
      </c>
      <c r="G7" s="2"/>
    </row>
    <row r="8" spans="1:7" x14ac:dyDescent="0.3">
      <c r="A8" t="s">
        <v>7</v>
      </c>
      <c r="B8">
        <v>92940.494999999995</v>
      </c>
      <c r="C8" cm="1">
        <f t="array" ref="C8">INDEX($B$2:$B$13,MATCH(A8,$A$2:$A$13,0)-1)</f>
        <v>107869.51149999999</v>
      </c>
      <c r="D8">
        <f t="shared" si="0"/>
        <v>-14929.016499999998</v>
      </c>
      <c r="E8" s="4">
        <f t="shared" si="1"/>
        <v>-0.13839885146786818</v>
      </c>
    </row>
    <row r="9" spans="1:7" ht="15" customHeight="1" x14ac:dyDescent="0.3">
      <c r="A9" t="s">
        <v>8</v>
      </c>
      <c r="B9">
        <v>105977.518</v>
      </c>
      <c r="C9" cm="1">
        <f t="array" ref="C9">INDEX($B$2:$B$13,MATCH(A9,$A$2:$A$13,0)-1)</f>
        <v>92940.494999999995</v>
      </c>
      <c r="D9">
        <f t="shared" si="0"/>
        <v>13037.023000000001</v>
      </c>
      <c r="E9" s="4">
        <f t="shared" si="1"/>
        <v>0.14027279497489228</v>
      </c>
    </row>
    <row r="10" spans="1:7" x14ac:dyDescent="0.3">
      <c r="A10" t="s">
        <v>9</v>
      </c>
      <c r="B10">
        <v>183962.04670000001</v>
      </c>
      <c r="C10" cm="1">
        <f t="array" ref="C10">INDEX($B$2:$B$13,MATCH(A10,$A$2:$A$13,0)-1)</f>
        <v>105977.518</v>
      </c>
      <c r="D10">
        <f t="shared" si="0"/>
        <v>77984.52870000001</v>
      </c>
      <c r="E10" s="4">
        <f t="shared" si="1"/>
        <v>0.73585917250864485</v>
      </c>
    </row>
    <row r="11" spans="1:7" x14ac:dyDescent="0.3">
      <c r="A11" t="s">
        <v>10</v>
      </c>
      <c r="B11">
        <v>116069.3885</v>
      </c>
      <c r="C11" cm="1">
        <f t="array" ref="C11">INDEX($B$2:$B$13,MATCH(A11,$A$2:$A$13,0)-1)</f>
        <v>183962.04670000001</v>
      </c>
      <c r="D11">
        <f t="shared" si="0"/>
        <v>-67892.658200000005</v>
      </c>
      <c r="E11" s="4">
        <f t="shared" si="1"/>
        <v>-0.36905796286729398</v>
      </c>
    </row>
    <row r="12" spans="1:7" x14ac:dyDescent="0.3">
      <c r="A12" t="s">
        <v>11</v>
      </c>
      <c r="B12">
        <v>230826.49230000001</v>
      </c>
      <c r="C12" cm="1">
        <f t="array" ref="C12">INDEX($B$2:$B$13,MATCH(A12,$A$2:$A$13,0)-1)</f>
        <v>116069.3885</v>
      </c>
      <c r="D12">
        <f t="shared" si="0"/>
        <v>114757.10380000001</v>
      </c>
      <c r="E12" s="4">
        <f t="shared" si="1"/>
        <v>0.98869396386972441</v>
      </c>
    </row>
    <row r="13" spans="1:7" x14ac:dyDescent="0.3">
      <c r="A13" t="s">
        <v>12</v>
      </c>
      <c r="B13">
        <v>227247.87650000001</v>
      </c>
      <c r="C13" cm="1">
        <f t="array" ref="C13">INDEX($B$2:$B$13,MATCH(A13,$A$2:$A$13,0)-1)</f>
        <v>230826.49230000001</v>
      </c>
      <c r="D13">
        <f t="shared" si="0"/>
        <v>-3578.6157999999996</v>
      </c>
      <c r="E13" s="4">
        <f t="shared" si="1"/>
        <v>-1.5503488201644346E-2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Monthly_Growth_Analysis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KADIVAR</dc:creator>
  <cp:lastModifiedBy>M A KADIVAR</cp:lastModifiedBy>
  <dcterms:created xsi:type="dcterms:W3CDTF">2026-05-31T17:10:25Z</dcterms:created>
  <dcterms:modified xsi:type="dcterms:W3CDTF">2026-06-01T06:44:21Z</dcterms:modified>
</cp:coreProperties>
</file>